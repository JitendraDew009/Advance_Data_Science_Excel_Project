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I Engineer\Datamites\Advance Data Science\ADS-6 Advanced Data Analysis with MS Excel-20260306T061710Z-1-001\ADS-6 Advanced Data Analysis with MS Excel\Optimisation using Solver\"/>
    </mc:Choice>
  </mc:AlternateContent>
  <xr:revisionPtr revIDLastSave="0" documentId="13_ncr:1_{5E96179F-ED7D-4DAD-B569-C2A32CE9EA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adj" localSheetId="0" hidden="1">Sheet1!$B$15:$B$16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Sheet1!$C$17</definedName>
    <definedName name="solver_lhs2" localSheetId="0" hidden="1">Sheet1!$D$17</definedName>
    <definedName name="solver_lhs3" localSheetId="0" hidden="1">Sheet1!$E$17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Sheet1!$C$23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1800</definedName>
    <definedName name="solver_rhs2" localSheetId="0" hidden="1">Sheet1!$B$10</definedName>
    <definedName name="solver_rhs3" localSheetId="0" hidden="1">Sheet1!$B$11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EEDvizzgT4NZgeBuZ3PXT8JWvd55xR6Utwrgu1hcAU="/>
    </ext>
  </extLst>
</workbook>
</file>

<file path=xl/calcChain.xml><?xml version="1.0" encoding="utf-8"?>
<calcChain xmlns="http://schemas.openxmlformats.org/spreadsheetml/2006/main">
  <c r="E17" i="1" l="1"/>
  <c r="D17" i="1"/>
  <c r="C17" i="1"/>
  <c r="E16" i="1"/>
  <c r="E15" i="1"/>
  <c r="D16" i="1"/>
  <c r="D15" i="1"/>
  <c r="C16" i="1"/>
  <c r="C15" i="1"/>
  <c r="B22" i="1"/>
  <c r="C22" i="1" s="1"/>
  <c r="B21" i="1"/>
  <c r="C21" i="1" s="1"/>
  <c r="C23" i="1" l="1"/>
</calcChain>
</file>

<file path=xl/sharedStrings.xml><?xml version="1.0" encoding="utf-8"?>
<sst xmlns="http://schemas.openxmlformats.org/spreadsheetml/2006/main" count="33" uniqueCount="17">
  <si>
    <t>Activity time in Hours</t>
  </si>
  <si>
    <t>Car Model</t>
  </si>
  <si>
    <t xml:space="preserve">Assembly ( All parts) </t>
  </si>
  <si>
    <t>Frame Fitting and Painting</t>
  </si>
  <si>
    <t>Quality Assurance</t>
  </si>
  <si>
    <t>KERK 501</t>
  </si>
  <si>
    <t>KERK 601</t>
  </si>
  <si>
    <t>Manufacturing Activity</t>
  </si>
  <si>
    <t>Time Available per Week</t>
  </si>
  <si>
    <t>Profit (USD Thousands)</t>
  </si>
  <si>
    <t>Assembly ( All parts)</t>
  </si>
  <si>
    <t>Quantity</t>
  </si>
  <si>
    <t>Total</t>
  </si>
  <si>
    <t>Production Quantity</t>
  </si>
  <si>
    <t>Total profit</t>
  </si>
  <si>
    <t>Define Objective Function (profit) and find the Optimal manufacturing quantities for car models to maximize the objective function?</t>
  </si>
  <si>
    <t>in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</si>
</sst>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6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center"/>
    </xf>
    <xf numFmtId="165" fontId="4" fillId="6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" zoomScale="98" workbookViewId="0">
      <selection activeCell="C23" sqref="C23"/>
    </sheetView>
  </sheetViews>
  <sheetFormatPr defaultColWidth="14.44140625" defaultRowHeight="15" customHeight="1" x14ac:dyDescent="0.3"/>
  <cols>
    <col min="1" max="1" width="33.6640625" customWidth="1"/>
    <col min="2" max="2" width="30.33203125" customWidth="1"/>
    <col min="3" max="3" width="32" customWidth="1"/>
    <col min="4" max="4" width="28.88671875" customWidth="1"/>
    <col min="5" max="5" width="26.6640625" customWidth="1"/>
    <col min="6" max="26" width="9.10937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13" t="s">
        <v>0</v>
      </c>
      <c r="C2" s="14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5</v>
      </c>
      <c r="B4" s="4">
        <v>8</v>
      </c>
      <c r="C4" s="4">
        <v>4</v>
      </c>
      <c r="D4" s="4">
        <v>2</v>
      </c>
      <c r="E4" s="1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4" t="s">
        <v>6</v>
      </c>
      <c r="B5" s="4">
        <v>10</v>
      </c>
      <c r="C5" s="4">
        <v>3</v>
      </c>
      <c r="D5" s="4">
        <v>1.6</v>
      </c>
      <c r="E5" s="1" t="s">
        <v>16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5" t="s">
        <v>7</v>
      </c>
      <c r="B8" s="5" t="s">
        <v>8</v>
      </c>
      <c r="C8" s="6"/>
      <c r="D8" s="5" t="s">
        <v>1</v>
      </c>
      <c r="E8" s="5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6" t="s">
        <v>10</v>
      </c>
      <c r="B9" s="6">
        <v>10800</v>
      </c>
      <c r="C9" s="6"/>
      <c r="D9" s="6" t="s">
        <v>5</v>
      </c>
      <c r="E9" s="6">
        <v>4.9000000000000004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6" t="s">
        <v>3</v>
      </c>
      <c r="B10" s="6">
        <v>4500</v>
      </c>
      <c r="C10" s="6"/>
      <c r="D10" s="6" t="s">
        <v>6</v>
      </c>
      <c r="E10" s="6">
        <v>5.8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6" t="s">
        <v>4</v>
      </c>
      <c r="B11" s="6">
        <v>2500</v>
      </c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6"/>
      <c r="B12" s="6"/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6"/>
      <c r="B13" s="6"/>
      <c r="C13" s="6"/>
      <c r="D13" s="6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5" t="s">
        <v>1</v>
      </c>
      <c r="B14" s="5" t="s">
        <v>11</v>
      </c>
      <c r="C14" s="5" t="s">
        <v>2</v>
      </c>
      <c r="D14" s="5" t="s">
        <v>3</v>
      </c>
      <c r="E14" s="5" t="s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4" t="s">
        <v>5</v>
      </c>
      <c r="B15" s="7">
        <v>7</v>
      </c>
      <c r="C15" s="8">
        <f>B4*B15</f>
        <v>56</v>
      </c>
      <c r="D15" s="8">
        <f>B15*C4</f>
        <v>28</v>
      </c>
      <c r="E15" s="8">
        <f>B15*D4</f>
        <v>14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4" t="s">
        <v>6</v>
      </c>
      <c r="B16" s="7">
        <v>5</v>
      </c>
      <c r="C16" s="8">
        <f>B16*B5</f>
        <v>50</v>
      </c>
      <c r="D16" s="8">
        <f>B16*C5</f>
        <v>15</v>
      </c>
      <c r="E16" s="8">
        <f>B16*D5</f>
        <v>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6"/>
      <c r="B17" s="9" t="s">
        <v>12</v>
      </c>
      <c r="C17" s="10">
        <f>SUM(C15,C16)</f>
        <v>106</v>
      </c>
      <c r="D17" s="10">
        <f>SUM(D15,D16)</f>
        <v>43</v>
      </c>
      <c r="E17" s="10">
        <f>SUM(E15,E16)</f>
        <v>22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5" t="s">
        <v>1</v>
      </c>
      <c r="B20" s="5" t="s">
        <v>13</v>
      </c>
      <c r="C20" s="5" t="s"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6" t="s">
        <v>5</v>
      </c>
      <c r="B21" s="11">
        <f t="shared" ref="B21:B22" si="0">B15</f>
        <v>7</v>
      </c>
      <c r="C21" s="11">
        <f>B21*E9</f>
        <v>34.300000000000004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6" t="s">
        <v>6</v>
      </c>
      <c r="B22" s="11">
        <f t="shared" si="0"/>
        <v>5</v>
      </c>
      <c r="C22" s="11">
        <f>B22*E10</f>
        <v>29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6"/>
      <c r="B23" s="12" t="s">
        <v>14</v>
      </c>
      <c r="C23" s="18">
        <f>C21+C22</f>
        <v>63.300000000000004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6"/>
      <c r="B24" s="6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6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6"/>
      <c r="B29" s="6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6" t="s">
        <v>15</v>
      </c>
      <c r="B31" s="17"/>
      <c r="C31" s="17"/>
      <c r="D31" s="1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Jitendra Dewangan</cp:lastModifiedBy>
  <dcterms:created xsi:type="dcterms:W3CDTF">2020-03-20T13:01:58Z</dcterms:created>
  <dcterms:modified xsi:type="dcterms:W3CDTF">2026-05-26T08:06:32Z</dcterms:modified>
</cp:coreProperties>
</file>